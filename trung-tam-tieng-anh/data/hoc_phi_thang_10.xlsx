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fa5ca7d53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gKy" sheetId="1" r:id="Ra5442fe6bf864478"/>
    <x:sheet xmlns:r="http://schemas.openxmlformats.org/officeDocument/2006/relationships" name="KhoaHoc" sheetId="2" r:id="R315bf3c994b2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43bc49ef949d4" /><Relationship Type="http://schemas.openxmlformats.org/officeDocument/2006/relationships/theme" Target="/xl/theme/theme1.xml" Id="Rfb1a118220b349c8" /><Relationship Type="http://schemas.openxmlformats.org/officeDocument/2006/relationships/sharedStrings" Target="/xl/sharedStrings.xml" Id="R68a4991ad7bf49a7" /><Relationship Type="http://schemas.openxmlformats.org/officeDocument/2006/relationships/worksheet" Target="/xl/worksheets/sheet1.xml" Id="Ra5442fe6bf864478" /><Relationship Type="http://schemas.openxmlformats.org/officeDocument/2006/relationships/worksheet" Target="/xl/worksheets/sheet2.xml" Id="R315bf3c994b24e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ma_dk</x:t>
        </x:is>
      </x:c>
      <x:c r="B1" t="inlineStr">
        <x:is>
          <x:t xml:space="preserve">ngay_dk</x:t>
        </x:is>
      </x:c>
      <x:c r="C1" t="inlineStr">
        <x:is>
          <x:t xml:space="preserve">ma_khoa</x:t>
        </x:is>
      </x:c>
      <x:c r="D1" t="inlineStr">
        <x:is>
          <x:t xml:space="preserve">so_thang</x:t>
        </x:is>
      </x:c>
      <x:c r="E1" t="inlineStr">
        <x:is>
          <x:t xml:space="preserve">ten_khoa</x:t>
        </x:is>
      </x:c>
      <x:c r="F1" t="inlineStr">
        <x:is>
          <x:t xml:space="preserve">hoc_phi</x:t>
        </x:is>
      </x:c>
      <x:c r="G1" t="inlineStr">
        <x:is>
          <x:t xml:space="preserve">tong_hoc_phi</x:t>
        </x:is>
      </x:c>
    </x:row>
    <x:row r="2" hidden="1">
      <x:c r="A2" t="inlineStr">
        <x:is>
          <x:t xml:space="preserve">DK001</x:t>
        </x:is>
      </x:c>
      <x:c r="B2" t="inlineStr">
        <x:is>
          <x:t xml:space="preserve">2025-10-01</x:t>
        </x:is>
      </x:c>
      <x:c r="C2" t="inlineStr">
        <x:is>
          <x:t xml:space="preserve">TE01</x:t>
        </x:is>
      </x:c>
      <x:c r="D2" t="n">
        <x:v>3</x:v>
      </x:c>
      <x:c r="E2" t="str">
        <x:f>VLOOKUP(C2,KhoaHoc!$A$2:$C$8,2,FALSE)</x:f>
        <x:v>Tieng Anh thieu nhi</x:v>
      </x:c>
      <x:c r="F2" s="1" t="n">
        <x:f>VLOOKUP(C2,KhoaHoc!$A$2:$C$8,3,FALSE)</x:f>
        <x:v>900000</x:v>
      </x:c>
      <x:c r="G2" s="1" t="n">
        <x:f>D2*F2</x:f>
        <x:v>2700000</x:v>
      </x:c>
    </x:row>
    <x:row r="3" hidden="1">
      <x:c r="A3" t="inlineStr">
        <x:is>
          <x:t xml:space="preserve">DK002</x:t>
        </x:is>
      </x:c>
      <x:c r="B3" t="inlineStr">
        <x:is>
          <x:t xml:space="preserve">2025-10-02</x:t>
        </x:is>
      </x:c>
      <x:c r="C3" t="inlineStr">
        <x:is>
          <x:t xml:space="preserve">IE02</x:t>
        </x:is>
      </x:c>
      <x:c r="D3" t="n">
        <x:v>2</x:v>
      </x:c>
      <x:c r="E3" t="str">
        <x:f>VLOOKUP(C3,KhoaHoc!$A$2:$C$8,2,FALSE)</x:f>
        <x:v>IELTS 6.5</x:v>
      </x:c>
      <x:c r="F3" s="1" t="n">
        <x:f>VLOOKUP(C3,KhoaHoc!$A$2:$C$8,3,FALSE)</x:f>
        <x:v>2500000</x:v>
      </x:c>
      <x:c r="G3" s="1" t="n">
        <x:f>D3*F3</x:f>
        <x:v>5000000</x:v>
      </x:c>
    </x:row>
    <x:row r="4">
      <x:c r="A4" t="inlineStr">
        <x:is>
          <x:t xml:space="preserve">DK003</x:t>
        </x:is>
      </x:c>
      <x:c r="B4" t="inlineStr">
        <x:is>
          <x:t xml:space="preserve">2025-10-03</x:t>
        </x:is>
      </x:c>
      <x:c r="C4" t="inlineStr">
        <x:is>
          <x:t xml:space="preserve">PV01</x:t>
        </x:is>
      </x:c>
      <x:c r="D4" t="n">
        <x:v>3</x:v>
      </x:c>
      <x:c r="E4" t="str">
        <x:f>VLOOKUP(C4,KhoaHoc!$A$2:$C$8,2,FALSE)</x:f>
        <x:v>Luyen phong van</x:v>
      </x:c>
      <x:c r="F4" s="1" t="n">
        <x:f>VLOOKUP(C4,KhoaHoc!$A$2:$C$8,3,FALSE)</x:f>
        <x:v>3000000</x:v>
      </x:c>
      <x:c r="G4" s="1" t="n">
        <x:f>D4*F4</x:f>
        <x:v>9000000</x:v>
      </x:c>
    </x:row>
    <x:row r="5" hidden="1">
      <x:c r="A5" t="inlineStr">
        <x:is>
          <x:t xml:space="preserve">DK004</x:t>
        </x:is>
      </x:c>
      <x:c r="B5" t="inlineStr">
        <x:is>
          <x:t xml:space="preserve">2025-10-04</x:t>
        </x:is>
      </x:c>
      <x:c r="C5" t="inlineStr">
        <x:is>
          <x:t xml:space="preserve">GT02</x:t>
        </x:is>
      </x:c>
      <x:c r="D5" t="n">
        <x:v>1</x:v>
      </x:c>
      <x:c r="E5" t="str">
        <x:f>VLOOKUP(C5,KhoaHoc!$A$2:$C$8,2,FALSE)</x:f>
        <x:v>Giao tiep nang cao</x:v>
      </x:c>
      <x:c r="F5" s="1" t="n">
        <x:f>VLOOKUP(C5,KhoaHoc!$A$2:$C$8,3,FALSE)</x:f>
        <x:v>1500000</x:v>
      </x:c>
      <x:c r="G5" s="1" t="n">
        <x:f>D5*F5</x:f>
        <x:v>1500000</x:v>
      </x:c>
    </x:row>
    <x:row r="6">
      <x:c r="A6" t="inlineStr">
        <x:is>
          <x:t xml:space="preserve">DK005</x:t>
        </x:is>
      </x:c>
      <x:c r="B6" t="inlineStr">
        <x:is>
          <x:t xml:space="preserve">2025-10-05</x:t>
        </x:is>
      </x:c>
      <x:c r="C6" t="inlineStr">
        <x:is>
          <x:t xml:space="preserve">GT02</x:t>
        </x:is>
      </x:c>
      <x:c r="D6" t="n">
        <x:v>4</x:v>
      </x:c>
      <x:c r="E6" t="str">
        <x:f>VLOOKUP(C6,KhoaHoc!$A$2:$C$8,2,FALSE)</x:f>
        <x:v>Giao tiep nang cao</x:v>
      </x:c>
      <x:c r="F6" s="1" t="n">
        <x:f>VLOOKUP(C6,KhoaHoc!$A$2:$C$8,3,FALSE)</x:f>
        <x:v>1500000</x:v>
      </x:c>
      <x:c r="G6" s="1" t="n">
        <x:f>D6*F6</x:f>
        <x:v>6000000</x:v>
      </x:c>
    </x:row>
    <x:row r="7">
      <x:c r="A7" t="inlineStr">
        <x:is>
          <x:t xml:space="preserve">DK006</x:t>
        </x:is>
      </x:c>
      <x:c r="B7" t="inlineStr">
        <x:is>
          <x:t xml:space="preserve">2025-10-06</x:t>
        </x:is>
      </x:c>
      <x:c r="C7" t="inlineStr">
        <x:is>
          <x:t xml:space="preserve">IE01</x:t>
        </x:is>
      </x:c>
      <x:c r="D7" t="n">
        <x:v>4</x:v>
      </x:c>
      <x:c r="E7" t="str">
        <x:f>VLOOKUP(C7,KhoaHoc!$A$2:$C$8,2,FALSE)</x:f>
        <x:v>IELTS 5.0</x:v>
      </x:c>
      <x:c r="F7" s="1" t="n">
        <x:f>VLOOKUP(C7,KhoaHoc!$A$2:$C$8,3,FALSE)</x:f>
        <x:v>2000000</x:v>
      </x:c>
      <x:c r="G7" s="1" t="n">
        <x:f>D7*F7</x:f>
        <x:v>8000000</x:v>
      </x:c>
    </x:row>
    <x:row r="8">
      <x:c r="A8" t="inlineStr">
        <x:is>
          <x:t xml:space="preserve">DK007</x:t>
        </x:is>
      </x:c>
      <x:c r="B8" t="inlineStr">
        <x:is>
          <x:t xml:space="preserve">2025-10-07</x:t>
        </x:is>
      </x:c>
      <x:c r="C8" t="inlineStr">
        <x:is>
          <x:t xml:space="preserve">TO01</x:t>
        </x:is>
      </x:c>
      <x:c r="D8" t="n">
        <x:v>4</x:v>
      </x:c>
      <x:c r="E8" t="str">
        <x:f>VLOOKUP(C8,KhoaHoc!$A$2:$C$8,2,FALSE)</x:f>
        <x:v>TOEIC 550</x:v>
      </x:c>
      <x:c r="F8" s="1" t="n">
        <x:f>VLOOKUP(C8,KhoaHoc!$A$2:$C$8,3,FALSE)</x:f>
        <x:v>1800000</x:v>
      </x:c>
      <x:c r="G8" s="1" t="n">
        <x:f>D8*F8</x:f>
        <x:v>7200000</x:v>
      </x:c>
    </x:row>
    <x:row r="9">
      <x:c r="A9" t="inlineStr">
        <x:is>
          <x:t xml:space="preserve">DK008</x:t>
        </x:is>
      </x:c>
      <x:c r="B9" t="inlineStr">
        <x:is>
          <x:t xml:space="preserve">2025-10-08</x:t>
        </x:is>
      </x:c>
      <x:c r="C9" t="inlineStr">
        <x:is>
          <x:t xml:space="preserve">PV01</x:t>
        </x:is>
      </x:c>
      <x:c r="D9" t="n">
        <x:v>3</x:v>
      </x:c>
      <x:c r="E9" t="str">
        <x:f>VLOOKUP(C9,KhoaHoc!$A$2:$C$8,2,FALSE)</x:f>
        <x:v>Luyen phong van</x:v>
      </x:c>
      <x:c r="F9" s="1" t="n">
        <x:f>VLOOKUP(C9,KhoaHoc!$A$2:$C$8,3,FALSE)</x:f>
        <x:v>3000000</x:v>
      </x:c>
      <x:c r="G9" s="1" t="n">
        <x:f>D9*F9</x:f>
        <x:v>9000000</x:v>
      </x:c>
    </x:row>
    <x:row r="10">
      <x:c r="A10" t="inlineStr">
        <x:is>
          <x:t xml:space="preserve">DK009</x:t>
        </x:is>
      </x:c>
      <x:c r="B10" t="inlineStr">
        <x:is>
          <x:t xml:space="preserve">2025-10-09</x:t>
        </x:is>
      </x:c>
      <x:c r="C10" t="inlineStr">
        <x:is>
          <x:t xml:space="preserve">IE02</x:t>
        </x:is>
      </x:c>
      <x:c r="D10" t="n">
        <x:v>3</x:v>
      </x:c>
      <x:c r="E10" t="str">
        <x:f>VLOOKUP(C10,KhoaHoc!$A$2:$C$8,2,FALSE)</x:f>
        <x:v>IELTS 6.5</x:v>
      </x:c>
      <x:c r="F10" s="1" t="n">
        <x:f>VLOOKUP(C10,KhoaHoc!$A$2:$C$8,3,FALSE)</x:f>
        <x:v>2500000</x:v>
      </x:c>
      <x:c r="G10" s="1" t="n">
        <x:f>D10*F10</x:f>
        <x:v>7500000</x:v>
      </x:c>
    </x:row>
    <x:row r="11" hidden="1">
      <x:c r="A11" t="inlineStr">
        <x:is>
          <x:t xml:space="preserve">DK010</x:t>
        </x:is>
      </x:c>
      <x:c r="B11" t="inlineStr">
        <x:is>
          <x:t xml:space="preserve">2025-10-10</x:t>
        </x:is>
      </x:c>
      <x:c r="C11" t="inlineStr">
        <x:is>
          <x:t xml:space="preserve">IE02</x:t>
        </x:is>
      </x:c>
      <x:c r="D11" t="n">
        <x:v>1</x:v>
      </x:c>
      <x:c r="E11" t="str">
        <x:f>VLOOKUP(C11,KhoaHoc!$A$2:$C$8,2,FALSE)</x:f>
        <x:v>IELTS 6.5</x:v>
      </x:c>
      <x:c r="F11" s="1" t="n">
        <x:f>VLOOKUP(C11,KhoaHoc!$A$2:$C$8,3,FALSE)</x:f>
        <x:v>2500000</x:v>
      </x:c>
      <x:c r="G11" s="1" t="n">
        <x:f>D11*F11</x:f>
        <x:v>2500000</x:v>
      </x:c>
    </x:row>
    <x:row r="12" hidden="1">
      <x:c r="A12" t="inlineStr">
        <x:is>
          <x:t xml:space="preserve">DK011</x:t>
        </x:is>
      </x:c>
      <x:c r="B12" t="inlineStr">
        <x:is>
          <x:t xml:space="preserve">2025-10-11</x:t>
        </x:is>
      </x:c>
      <x:c r="C12" t="inlineStr">
        <x:is>
          <x:t xml:space="preserve">TE01</x:t>
        </x:is>
      </x:c>
      <x:c r="D12" t="n">
        <x:v>1</x:v>
      </x:c>
      <x:c r="E12" t="str">
        <x:f>VLOOKUP(C12,KhoaHoc!$A$2:$C$8,2,FALSE)</x:f>
        <x:v>Tieng Anh thieu nhi</x:v>
      </x:c>
      <x:c r="F12" s="1" t="n">
        <x:f>VLOOKUP(C12,KhoaHoc!$A$2:$C$8,3,FALSE)</x:f>
        <x:v>900000</x:v>
      </x:c>
      <x:c r="G12" s="1" t="n">
        <x:f>D12*F12</x:f>
        <x:v>900000</x:v>
      </x:c>
    </x:row>
    <x:row r="13" hidden="1">
      <x:c r="A13" t="inlineStr">
        <x:is>
          <x:t xml:space="preserve">DK012</x:t>
        </x:is>
      </x:c>
      <x:c r="B13" t="inlineStr">
        <x:is>
          <x:t xml:space="preserve">2025-10-12</x:t>
        </x:is>
      </x:c>
      <x:c r="C13" t="inlineStr">
        <x:is>
          <x:t xml:space="preserve">GT01</x:t>
        </x:is>
      </x:c>
      <x:c r="D13" t="n">
        <x:v>4</x:v>
      </x:c>
      <x:c r="E13" t="str">
        <x:f>VLOOKUP(C13,KhoaHoc!$A$2:$C$8,2,FALSE)</x:f>
        <x:v>Giao tiep co ban</x:v>
      </x:c>
      <x:c r="F13" s="1" t="n">
        <x:f>VLOOKUP(C13,KhoaHoc!$A$2:$C$8,3,FALSE)</x:f>
        <x:v>1200000</x:v>
      </x:c>
      <x:c r="G13" s="1" t="n">
        <x:f>D13*F13</x:f>
        <x:v>4800000</x:v>
      </x:c>
    </x:row>
    <x:row r="14" hidden="1">
      <x:c r="A14" t="inlineStr">
        <x:is>
          <x:t xml:space="preserve">DK013</x:t>
        </x:is>
      </x:c>
      <x:c r="B14" t="inlineStr">
        <x:is>
          <x:t xml:space="preserve">2025-10-13</x:t>
        </x:is>
      </x:c>
      <x:c r="C14" t="inlineStr">
        <x:is>
          <x:t xml:space="preserve">TO01</x:t>
        </x:is>
      </x:c>
      <x:c r="D14" t="n">
        <x:v>3</x:v>
      </x:c>
      <x:c r="E14" t="str">
        <x:f>VLOOKUP(C14,KhoaHoc!$A$2:$C$8,2,FALSE)</x:f>
        <x:v>TOEIC 550</x:v>
      </x:c>
      <x:c r="F14" s="1" t="n">
        <x:f>VLOOKUP(C14,KhoaHoc!$A$2:$C$8,3,FALSE)</x:f>
        <x:v>1800000</x:v>
      </x:c>
      <x:c r="G14" s="1" t="n">
        <x:f>D14*F14</x:f>
        <x:v>5400000</x:v>
      </x:c>
    </x:row>
    <x:row r="15" hidden="1">
      <x:c r="A15" t="inlineStr">
        <x:is>
          <x:t xml:space="preserve">DK014</x:t>
        </x:is>
      </x:c>
      <x:c r="B15" t="inlineStr">
        <x:is>
          <x:t xml:space="preserve">2025-10-14</x:t>
        </x:is>
      </x:c>
      <x:c r="C15" t="inlineStr">
        <x:is>
          <x:t xml:space="preserve">IE02</x:t>
        </x:is>
      </x:c>
      <x:c r="D15" t="n">
        <x:v>1</x:v>
      </x:c>
      <x:c r="E15" t="str">
        <x:f>VLOOKUP(C15,KhoaHoc!$A$2:$C$8,2,FALSE)</x:f>
        <x:v>IELTS 6.5</x:v>
      </x:c>
      <x:c r="F15" s="1" t="n">
        <x:f>VLOOKUP(C15,KhoaHoc!$A$2:$C$8,3,FALSE)</x:f>
        <x:v>2500000</x:v>
      </x:c>
      <x:c r="G15" s="1" t="n">
        <x:f>D15*F15</x:f>
        <x:v>2500000</x:v>
      </x:c>
    </x:row>
    <x:row r="16">
      <x:c r="A16" t="inlineStr">
        <x:is>
          <x:t xml:space="preserve">DK015</x:t>
        </x:is>
      </x:c>
      <x:c r="B16" t="inlineStr">
        <x:is>
          <x:t xml:space="preserve">2025-10-15</x:t>
        </x:is>
      </x:c>
      <x:c r="C16" t="inlineStr">
        <x:is>
          <x:t xml:space="preserve">IE02</x:t>
        </x:is>
      </x:c>
      <x:c r="D16" t="n">
        <x:v>4</x:v>
      </x:c>
      <x:c r="E16" t="str">
        <x:f>VLOOKUP(C16,KhoaHoc!$A$2:$C$8,2,FALSE)</x:f>
        <x:v>IELTS 6.5</x:v>
      </x:c>
      <x:c r="F16" s="1" t="n">
        <x:f>VLOOKUP(C16,KhoaHoc!$A$2:$C$8,3,FALSE)</x:f>
        <x:v>2500000</x:v>
      </x:c>
      <x:c r="G16" s="1" t="n">
        <x:f>D16*F16</x:f>
        <x:v>10000000</x:v>
      </x:c>
    </x:row>
  </x:sheetData>
  <x:autoFilter ref="A1:G16">
    <x:filterColumn colId="6">
      <x:customFilters>
        <x:customFilter operator="greaterThanOrEqual" val="6000000"/>
      </x:customFilters>
    </x:filterColumn>
  </x:autoFilter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ma_khoa</x:t>
        </x:is>
      </x:c>
      <x:c r="B1" t="inlineStr">
        <x:is>
          <x:t xml:space="preserve">ten_khoa</x:t>
        </x:is>
      </x:c>
      <x:c r="C1" t="inlineStr">
        <x:is>
          <x:t xml:space="preserve">hoc_phi</x:t>
        </x:is>
      </x:c>
      <x:c r="E1" t="inlineStr">
        <x:is>
          <x:t xml:space="preserve">ma_can_tra</x:t>
        </x:is>
      </x:c>
      <x:c r="F1" t="inlineStr">
        <x:is>
          <x:t xml:space="preserve">hoc_phi_tra_cuu</x:t>
        </x:is>
      </x:c>
    </x:row>
    <x:row r="2">
      <x:c r="A2" t="inlineStr">
        <x:is>
          <x:t xml:space="preserve">GT01</x:t>
        </x:is>
      </x:c>
      <x:c r="B2" t="inlineStr">
        <x:is>
          <x:t xml:space="preserve">Giao tiep co ban</x:t>
        </x:is>
      </x:c>
      <x:c r="C2" t="n">
        <x:v>1200000</x:v>
      </x:c>
      <x:c r="E2" t="inlineStr">
        <x:is>
          <x:t xml:space="preserve">IE02</x:t>
        </x:is>
      </x:c>
      <x:c r="F2" s="1" t="n">
        <x:f>VLOOKUP(E2,$A$2:$C$8,3,FALSE)</x:f>
        <x:v>2500000</x:v>
      </x:c>
    </x:row>
    <x:row r="3">
      <x:c r="A3" t="inlineStr">
        <x:is>
          <x:t xml:space="preserve">GT02</x:t>
        </x:is>
      </x:c>
      <x:c r="B3" t="inlineStr">
        <x:is>
          <x:t xml:space="preserve">Giao tiep nang cao</x:t>
        </x:is>
      </x:c>
      <x:c r="C3" t="n">
        <x:v>1500000</x:v>
      </x:c>
    </x:row>
    <x:row r="4">
      <x:c r="A4" t="inlineStr">
        <x:is>
          <x:t xml:space="preserve">IE01</x:t>
        </x:is>
      </x:c>
      <x:c r="B4" t="inlineStr">
        <x:is>
          <x:t xml:space="preserve">IELTS 5.0</x:t>
        </x:is>
      </x:c>
      <x:c r="C4" t="n">
        <x:v>2000000</x:v>
      </x:c>
    </x:row>
    <x:row r="5">
      <x:c r="A5" t="inlineStr">
        <x:is>
          <x:t xml:space="preserve">IE02</x:t>
        </x:is>
      </x:c>
      <x:c r="B5" t="inlineStr">
        <x:is>
          <x:t xml:space="preserve">IELTS 6.5</x:t>
        </x:is>
      </x:c>
      <x:c r="C5" t="n">
        <x:v>2500000</x:v>
      </x:c>
    </x:row>
    <x:row r="6">
      <x:c r="A6" t="inlineStr">
        <x:is>
          <x:t xml:space="preserve">TO01</x:t>
        </x:is>
      </x:c>
      <x:c r="B6" t="inlineStr">
        <x:is>
          <x:t xml:space="preserve">TOEIC 550</x:t>
        </x:is>
      </x:c>
      <x:c r="C6" t="n">
        <x:v>1800000</x:v>
      </x:c>
    </x:row>
    <x:row r="7">
      <x:c r="A7" t="inlineStr">
        <x:is>
          <x:t xml:space="preserve">TE01</x:t>
        </x:is>
      </x:c>
      <x:c r="B7" t="inlineStr">
        <x:is>
          <x:t xml:space="preserve">Tieng Anh thieu nhi</x:t>
        </x:is>
      </x:c>
      <x:c r="C7" t="n">
        <x:v>900000</x:v>
      </x:c>
    </x:row>
    <x:row r="8">
      <x:c r="A8" t="inlineStr">
        <x:is>
          <x:t xml:space="preserve">PV01</x:t>
        </x:is>
      </x:c>
      <x:c r="B8" t="inlineStr">
        <x:is>
          <x:t xml:space="preserve">Luyen phong van</x:t>
        </x:is>
      </x:c>
      <x:c r="C8" t="n">
        <x:v>3000000</x:v>
      </x:c>
    </x:row>
  </x:sheetData>
  <x:pageMargins left="0.7" right="0.7" top="0.75" bottom="0.75" header="0.3" footer="0.3"/>
</x:worksheet>
</file>